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is\Downloads\"/>
    </mc:Choice>
  </mc:AlternateContent>
  <xr:revisionPtr revIDLastSave="806" documentId="13_ncr:1_{61D98627-9071-4B02-9E57-D908ED0E5387}" xr6:coauthVersionLast="47" xr6:coauthVersionMax="47" xr10:uidLastSave="{13C5EDA4-53F7-4BFE-8BD2-DA8E0E48913C}"/>
  <bookViews>
    <workbookView xWindow="9660" yWindow="3450" windowWidth="38700" windowHeight="15345" firstSheet="3" xr2:uid="{B7036960-D674-4B76-B564-D076AACD5E6B}"/>
  </bookViews>
  <sheets>
    <sheet name="Timo Tikkanen" sheetId="1" r:id="rId1"/>
    <sheet name="Mikko Haapea" sheetId="3" r:id="rId2"/>
    <sheet name="Sari Ervasti" sheetId="5" r:id="rId3"/>
    <sheet name="Ville Kähkönen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C39" i="5"/>
  <c r="C47" i="4"/>
  <c r="C44" i="1"/>
</calcChain>
</file>

<file path=xl/sharedStrings.xml><?xml version="1.0" encoding="utf-8"?>
<sst xmlns="http://schemas.openxmlformats.org/spreadsheetml/2006/main" count="197" uniqueCount="156">
  <si>
    <t>Ryhmä:</t>
  </si>
  <si>
    <t>Pvm</t>
  </si>
  <si>
    <t>Tehtävä</t>
  </si>
  <si>
    <t>Aloituspalaveri</t>
  </si>
  <si>
    <t>Backlog hahmottelu</t>
  </si>
  <si>
    <t>Sprinttien suunnittelu + viikkopalaveri</t>
  </si>
  <si>
    <t>LTS, projektin alustus ja tutkimustyötä</t>
  </si>
  <si>
    <t>Koordinaattien näyttämisen testailu + alueen rajaus koordinaattien perusteella</t>
  </si>
  <si>
    <t>Koordinaattien listaaminen</t>
  </si>
  <si>
    <t>Koordinaattien listaaminen + alueen rajaus + backlogin pilkkominen</t>
  </si>
  <si>
    <t>Kartan ja alueiden näyttäminen + paikannus + sprinttien suunnittelu + LTS</t>
  </si>
  <si>
    <t>GPS-paikannus</t>
  </si>
  <si>
    <t>Askelmittari + dev build</t>
  </si>
  <si>
    <t>Askelmittari</t>
  </si>
  <si>
    <t>GPS-paikannus backgroundissa</t>
  </si>
  <si>
    <t>GPS-paikannus backgroundissa + LTS</t>
  </si>
  <si>
    <t>Alkavan sprintin suunnittelu</t>
  </si>
  <si>
    <t>Viikkopalaveri + google maps api</t>
  </si>
  <si>
    <t>Paikannuksen aloittaminen napilla</t>
  </si>
  <si>
    <t>Google maps api + dev build</t>
  </si>
  <si>
    <t>Dev-haaran yhdistäminen mainiin + Paikannuksen aloittaminen napilla</t>
  </si>
  <si>
    <t>Koodien yhdistely + sprintin suunnittelu</t>
  </si>
  <si>
    <t>MapLibre + askelmäärän tallennus tietokantaan</t>
  </si>
  <si>
    <t>Askelmäärän tallentaminen tietokantaan</t>
  </si>
  <si>
    <t>MapLibre + LTS</t>
  </si>
  <si>
    <t>LTS</t>
  </si>
  <si>
    <t>Tiimipalaveri</t>
  </si>
  <si>
    <t>Kokonaisaskelmäärän näyttäminen karttanäkymässä + background trail</t>
  </si>
  <si>
    <t>Viikkopalaveri</t>
  </si>
  <si>
    <t>Advanced mobile + kirjautumisen ilmoitus</t>
  </si>
  <si>
    <t>Leaderboardsin kaavio + viikkopalaveri</t>
  </si>
  <si>
    <t>Advanced mobile + koodien yhdistely</t>
  </si>
  <si>
    <t>PopUp-peliohje + Mapview debuggaus</t>
  </si>
  <si>
    <t>Leaderboards + Api-avaimen rajoitus sovellukseen + sijaintiluvan alert (peruttu) + videon kuvaus</t>
  </si>
  <si>
    <t>Videon editointi + Pisteytyslomake + projektin viimeistely</t>
  </si>
  <si>
    <t>Yhteensä</t>
  </si>
  <si>
    <t>Liiketoimintasuunnitelman tekemistä</t>
  </si>
  <si>
    <t>Sprinttipalaveri, sprintin suunnittelu, alustava työnjako</t>
  </si>
  <si>
    <t>LTS, käytettäviin teknologioihin tutustuminen ja niiden vertailu</t>
  </si>
  <si>
    <t>alueen rajaus koordinaattien perusteella</t>
  </si>
  <si>
    <t>projektinhallintaa</t>
  </si>
  <si>
    <t>LTS, alkavan sprintin suunnittelu/työnjako</t>
  </si>
  <si>
    <t>sijainnin yhdistäminen oikeaan ruutuun, prototyyppi</t>
  </si>
  <si>
    <t>sijainnin yhdistäminen oikeaan ruutuun, jatkokehitys</t>
  </si>
  <si>
    <t>palaveri, liiketoimintasuunnitelman edistäminen, sprintin lopputulosten demoaminen</t>
  </si>
  <si>
    <t>viikkopalaveri, devbuild</t>
  </si>
  <si>
    <t>tietokannan rakenteen suunnittelu, vaihtoehtoisten karttakirjastojen etsiminen/perehtyminen</t>
  </si>
  <si>
    <t>maplibre-react-native kirjaston kokeilu</t>
  </si>
  <si>
    <t>maplibre-rn</t>
  </si>
  <si>
    <t>karttanäkymän porttaus react-native-mapsista maplibre-react-nativeen</t>
  </si>
  <si>
    <t>sprintin suunnittelu</t>
  </si>
  <si>
    <t>Google Maps api-avaimen käyttöönotto, app config tiedosto (api avaimen haku .env-tiedostosta)</t>
  </si>
  <si>
    <t>Parannuksia MapView-komponenttiin</t>
  </si>
  <si>
    <t>mapview ja cells</t>
  </si>
  <si>
    <t>palaveri (liiketoimintasuunnitelma)</t>
  </si>
  <si>
    <t>tiimipalaveri</t>
  </si>
  <si>
    <t>scrum review + palaveri</t>
  </si>
  <si>
    <t>cellin tietojen haku backendista, cellin dynaaminen värjäys, cellin info-laatikko painettaessa</t>
  </si>
  <si>
    <t>palaveri (LTS), mapview/cells</t>
  </si>
  <si>
    <t>palaveri (kaaviot), cell info modal</t>
  </si>
  <si>
    <t>palaveri + mapviewin debuggausta</t>
  </si>
  <si>
    <t>palaveri + mapviewin debuggausta + diagrammi (cell top 3) + firestore query</t>
  </si>
  <si>
    <t>palaveri + diagrammi + sovelluksen ulkoasu + virheenkäsittely</t>
  </si>
  <si>
    <t>oman osuuden viimeistely + videon kuvaus</t>
  </si>
  <si>
    <t>Documents kansio, projektin palautus</t>
  </si>
  <si>
    <t>Liiketoimintasuunnitelman tekoa</t>
  </si>
  <si>
    <t>Sprinttien suunnittelu + palaveri</t>
  </si>
  <si>
    <t>LTS &amp; UI design työkalun testaus</t>
  </si>
  <si>
    <t xml:space="preserve">UI/UX suunnittelu </t>
  </si>
  <si>
    <t>Backlog pilkkominen/Projektinhallinta</t>
  </si>
  <si>
    <t>Firebase alustus, conffaus ja testidata</t>
  </si>
  <si>
    <t>SignIn frontend ja kirjautumisen suunnittelu/palaveri koodien yhdistämisestä</t>
  </si>
  <si>
    <t>SignIn kirjautuminen ja testaus</t>
  </si>
  <si>
    <t>Koodien yhidstäminen, palaveri (sprinttien tulosten esitys) +LTS</t>
  </si>
  <si>
    <t>Kirjautumisikkunan bugi + kirjautuminen displaynamella, profiilisivun, ohjesivun ja leaderboardsivun aloitus</t>
  </si>
  <si>
    <t>Google maps api, dev build</t>
  </si>
  <si>
    <t>Profiili-, peliohje- ja leaderboard sivujen tekoa + dev build</t>
  </si>
  <si>
    <t>Sprintin suunnittelu + koodien yhdistäminen</t>
  </si>
  <si>
    <t>Profiili-, peliohje- ja leaderboard sivujen tekoa</t>
  </si>
  <si>
    <t>Koodien toiminnan yhdistäminen Villen kanssa  + LTS</t>
  </si>
  <si>
    <t>Profiili-, peliohje- ja leaderboard sivujen tekoa + tiimipalaveri</t>
  </si>
  <si>
    <t>Sprintin suunnittelu, työnjako + koodien yhdistäminen</t>
  </si>
  <si>
    <t>Profiilivärin sekä askeleiden bugin korjaus</t>
  </si>
  <si>
    <t>Palaveri Timon kanssa + sisäänkirjautumisen latausruudun tekoa</t>
  </si>
  <si>
    <t>Sisäänkirjautumisikkunan latausruudun tekoa sekä peliohjeet +LTS</t>
  </si>
  <si>
    <t>Matemaattisten kaavioden toteutuksen suunnittelu +aikataulutus</t>
  </si>
  <si>
    <t xml:space="preserve">Viikkopalaveri </t>
  </si>
  <si>
    <t>Diagrammin tekoa</t>
  </si>
  <si>
    <t>Koodien yhdisteleminen + tehtävien jakoa</t>
  </si>
  <si>
    <t>Readme, palaveri, sovelluksen läpikäynti/siivous, videointi ja pisteytyslomakkeen täyttöä</t>
  </si>
  <si>
    <t xml:space="preserve">Projektin dokumentointia + </t>
  </si>
  <si>
    <t>Yhteensä:</t>
  </si>
  <si>
    <t>10.1.2026</t>
  </si>
  <si>
    <t>13.1.2026</t>
  </si>
  <si>
    <t>15.1.2026</t>
  </si>
  <si>
    <t>LTS &amp; UI desing työkalun testaaminen</t>
  </si>
  <si>
    <t>16.1.2026</t>
  </si>
  <si>
    <t>UI / UX suunnittelu</t>
  </si>
  <si>
    <t>17.1.2026</t>
  </si>
  <si>
    <t>18.1.2026</t>
  </si>
  <si>
    <t>Projektinhallintaa</t>
  </si>
  <si>
    <t>19.1.2026</t>
  </si>
  <si>
    <t>20.1.2026</t>
  </si>
  <si>
    <t>Firebase alustus ja conffaus+ testitadatan luominen projektiin</t>
  </si>
  <si>
    <t>22.1.2026</t>
  </si>
  <si>
    <t>SignUpScreen + Firebase Auth + SplashScreen + AuthScreen</t>
  </si>
  <si>
    <t>23.1.2026</t>
  </si>
  <si>
    <t>SignUpScreen + Firebase Auth</t>
  </si>
  <si>
    <t>24.1.2026</t>
  </si>
  <si>
    <t>25.1.2026</t>
  </si>
  <si>
    <t>SignUpScreen + LTS</t>
  </si>
  <si>
    <t>26.1.2026</t>
  </si>
  <si>
    <t>27.1.2026</t>
  </si>
  <si>
    <t>28.1.2026</t>
  </si>
  <si>
    <t>-</t>
  </si>
  <si>
    <t>29.1.2026</t>
  </si>
  <si>
    <t>Stack Navigaatio + SignUp bugin korjaus</t>
  </si>
  <si>
    <t>30.1.2026</t>
  </si>
  <si>
    <t>Google Maps + API</t>
  </si>
  <si>
    <t>31.1.2026</t>
  </si>
  <si>
    <t>Google Maps conffaus (virheiden korjausta)</t>
  </si>
  <si>
    <t>1.2.2026</t>
  </si>
  <si>
    <t>Stack Navigaatio</t>
  </si>
  <si>
    <t>2.2.2026</t>
  </si>
  <si>
    <t xml:space="preserve">Stack Navigaatio </t>
  </si>
  <si>
    <t>3.2.2026</t>
  </si>
  <si>
    <t>Sprint suunnitteli</t>
  </si>
  <si>
    <t>4.2.2026</t>
  </si>
  <si>
    <t>Salasanan vaihto: email + firebase template</t>
  </si>
  <si>
    <t>5.2.2026</t>
  </si>
  <si>
    <t>Salasanan vaihto: in-app</t>
  </si>
  <si>
    <t>6.2.2026</t>
  </si>
  <si>
    <t>7.2.2026</t>
  </si>
  <si>
    <t>8.2.2026</t>
  </si>
  <si>
    <t>Delete account + Koodin katselmus (Sarin kanssa) + LTS</t>
  </si>
  <si>
    <t>9.2.2026</t>
  </si>
  <si>
    <t>10.2.2026</t>
  </si>
  <si>
    <t>Sprintin suunnittelu + työnjako + koodien yhdistäminen</t>
  </si>
  <si>
    <t>11.2.2026</t>
  </si>
  <si>
    <t>SDk:n, CMaken päivitys ja viankorjaus (henk.koht ongelma)</t>
  </si>
  <si>
    <t>12.2.2026</t>
  </si>
  <si>
    <t>13.2.2026</t>
  </si>
  <si>
    <t>14.2.2026</t>
  </si>
  <si>
    <t>Profiilivärin generointi + LTS</t>
  </si>
  <si>
    <t>15.2.2026</t>
  </si>
  <si>
    <t>Matemaattisten kaavoiden suunnittelu</t>
  </si>
  <si>
    <t>16.2.2026</t>
  </si>
  <si>
    <t>17.2.2026</t>
  </si>
  <si>
    <t>ConquestPiechart</t>
  </si>
  <si>
    <t>18.2.2026</t>
  </si>
  <si>
    <t>Koodien katselmointi ja yhdistäminen</t>
  </si>
  <si>
    <t>19.2.2026</t>
  </si>
  <si>
    <t>Sovelluksen läpikäynti, koodien siivousta, esittely videon teko, pisteytyslomake</t>
  </si>
  <si>
    <t>20.2.2026</t>
  </si>
  <si>
    <t>Projektin dokumentointi</t>
  </si>
  <si>
    <t xml:space="preserve">Yht: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</si>
</sst>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.m\.yyyy;@"/>
    <numFmt numFmtId="165" formatCode="d\.m\.yy;@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165" fontId="0" fillId="0" borderId="0" xfId="0" applyNumberFormat="1"/>
    <xf numFmtId="0" fontId="0" fillId="0" borderId="0" xfId="0" applyAlignment="1">
      <alignment horizontal="right"/>
    </xf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D073-EB2D-44A2-86BF-660E3721AF80}">
  <dimension ref="A1:C48"/>
  <sheetViews>
    <sheetView tabSelected="1" topLeftCell="A9" workbookViewId="0">
      <selection activeCell="F35" sqref="F35"/>
    </sheetView>
  </sheetViews>
  <sheetFormatPr defaultRowHeight="15"/>
  <cols>
    <col min="1" max="1" width="16.85546875" customWidth="1"/>
    <col min="2" max="2" width="40.7109375" style="7" customWidth="1"/>
    <col min="3" max="6" width="13.28515625" customWidth="1"/>
  </cols>
  <sheetData>
    <row r="1" spans="1:3">
      <c r="A1" t="s">
        <v>0</v>
      </c>
      <c r="B1" s="7">
        <v>14</v>
      </c>
    </row>
    <row r="2" spans="1:3">
      <c r="A2" t="s">
        <v>1</v>
      </c>
      <c r="B2" s="7" t="s">
        <v>2</v>
      </c>
    </row>
    <row r="3" spans="1:3">
      <c r="A3" s="1">
        <v>46031</v>
      </c>
      <c r="B3" s="7" t="s">
        <v>3</v>
      </c>
      <c r="C3">
        <v>3</v>
      </c>
    </row>
    <row r="4" spans="1:3">
      <c r="A4" s="1">
        <v>46032</v>
      </c>
      <c r="B4" s="7" t="s">
        <v>4</v>
      </c>
      <c r="C4">
        <v>1.75</v>
      </c>
    </row>
    <row r="5" spans="1:3">
      <c r="A5" s="1">
        <v>46035</v>
      </c>
      <c r="B5" s="7" t="s">
        <v>5</v>
      </c>
      <c r="C5">
        <v>2.5</v>
      </c>
    </row>
    <row r="6" spans="1:3">
      <c r="A6" s="1">
        <v>46037</v>
      </c>
      <c r="B6" s="7" t="s">
        <v>6</v>
      </c>
      <c r="C6">
        <v>3.25</v>
      </c>
    </row>
    <row r="7" spans="1:3" ht="30.75">
      <c r="A7" s="1">
        <v>46038</v>
      </c>
      <c r="B7" s="7" t="s">
        <v>7</v>
      </c>
      <c r="C7">
        <v>1.75</v>
      </c>
    </row>
    <row r="8" spans="1:3">
      <c r="A8" s="1">
        <v>46039</v>
      </c>
      <c r="B8" s="7" t="s">
        <v>8</v>
      </c>
      <c r="C8">
        <v>1</v>
      </c>
    </row>
    <row r="9" spans="1:3" ht="30.75">
      <c r="A9" s="1">
        <v>46040</v>
      </c>
      <c r="B9" s="7" t="s">
        <v>9</v>
      </c>
      <c r="C9">
        <v>5</v>
      </c>
    </row>
    <row r="10" spans="1:3" ht="34.5" customHeight="1">
      <c r="A10" s="1">
        <v>46041</v>
      </c>
      <c r="B10" s="7" t="s">
        <v>10</v>
      </c>
      <c r="C10">
        <v>3.75</v>
      </c>
    </row>
    <row r="11" spans="1:3">
      <c r="A11" s="1">
        <v>46042</v>
      </c>
      <c r="B11" s="7" t="s">
        <v>11</v>
      </c>
      <c r="C11">
        <v>2</v>
      </c>
    </row>
    <row r="12" spans="1:3">
      <c r="A12" s="1">
        <v>46043</v>
      </c>
      <c r="B12" s="7" t="s">
        <v>11</v>
      </c>
      <c r="C12">
        <v>1.5</v>
      </c>
    </row>
    <row r="13" spans="1:3">
      <c r="A13" s="1">
        <v>46044</v>
      </c>
      <c r="B13" s="7" t="s">
        <v>12</v>
      </c>
      <c r="C13">
        <v>2.25</v>
      </c>
    </row>
    <row r="14" spans="1:3">
      <c r="A14" s="1">
        <v>46045</v>
      </c>
      <c r="B14" s="7" t="s">
        <v>13</v>
      </c>
      <c r="C14">
        <v>1.5</v>
      </c>
    </row>
    <row r="15" spans="1:3">
      <c r="A15" s="1">
        <v>46046</v>
      </c>
      <c r="B15" s="7" t="s">
        <v>14</v>
      </c>
      <c r="C15">
        <v>2</v>
      </c>
    </row>
    <row r="16" spans="1:3">
      <c r="A16" s="1">
        <v>46047</v>
      </c>
      <c r="B16" s="7" t="s">
        <v>15</v>
      </c>
      <c r="C16">
        <v>6</v>
      </c>
    </row>
    <row r="17" spans="1:3">
      <c r="A17" s="1">
        <v>46048</v>
      </c>
      <c r="B17" s="7" t="s">
        <v>16</v>
      </c>
      <c r="C17">
        <v>2.5</v>
      </c>
    </row>
    <row r="18" spans="1:3">
      <c r="A18" s="1">
        <v>46049</v>
      </c>
      <c r="B18" s="7" t="s">
        <v>17</v>
      </c>
      <c r="C18">
        <v>2.25</v>
      </c>
    </row>
    <row r="19" spans="1:3">
      <c r="A19" s="1">
        <v>46051</v>
      </c>
      <c r="B19" s="7" t="s">
        <v>18</v>
      </c>
      <c r="C19">
        <v>2</v>
      </c>
    </row>
    <row r="20" spans="1:3">
      <c r="A20" s="1">
        <v>46052</v>
      </c>
      <c r="B20" s="7" t="s">
        <v>19</v>
      </c>
      <c r="C20">
        <v>3</v>
      </c>
    </row>
    <row r="21" spans="1:3" ht="30.75">
      <c r="A21" s="1">
        <v>46053</v>
      </c>
      <c r="B21" s="7" t="s">
        <v>20</v>
      </c>
      <c r="C21">
        <v>1.5</v>
      </c>
    </row>
    <row r="22" spans="1:3">
      <c r="A22" s="1">
        <v>46056</v>
      </c>
      <c r="B22" s="7" t="s">
        <v>21</v>
      </c>
      <c r="C22">
        <v>3.5</v>
      </c>
    </row>
    <row r="23" spans="1:3" ht="30.75">
      <c r="A23" s="1">
        <v>46057</v>
      </c>
      <c r="B23" s="7" t="s">
        <v>22</v>
      </c>
      <c r="C23">
        <v>3.75</v>
      </c>
    </row>
    <row r="24" spans="1:3">
      <c r="A24" s="1">
        <v>46058</v>
      </c>
      <c r="B24" s="7" t="s">
        <v>23</v>
      </c>
      <c r="C24">
        <v>2.5</v>
      </c>
    </row>
    <row r="25" spans="1:3">
      <c r="A25" s="1">
        <v>46060</v>
      </c>
      <c r="B25" s="7" t="s">
        <v>24</v>
      </c>
      <c r="C25">
        <v>3</v>
      </c>
    </row>
    <row r="26" spans="1:3">
      <c r="A26" s="1">
        <v>46061</v>
      </c>
      <c r="B26" s="7" t="s">
        <v>25</v>
      </c>
      <c r="C26">
        <v>2</v>
      </c>
    </row>
    <row r="27" spans="1:3">
      <c r="A27" s="1">
        <v>46062</v>
      </c>
      <c r="B27" s="7" t="s">
        <v>26</v>
      </c>
      <c r="C27">
        <v>3</v>
      </c>
    </row>
    <row r="28" spans="1:3">
      <c r="A28" s="1">
        <v>46063</v>
      </c>
      <c r="B28" s="7" t="s">
        <v>26</v>
      </c>
      <c r="C28">
        <v>2.5</v>
      </c>
    </row>
    <row r="29" spans="1:3" ht="30.75">
      <c r="A29" s="1">
        <v>46064</v>
      </c>
      <c r="B29" s="7" t="s">
        <v>27</v>
      </c>
      <c r="C29">
        <v>3.5</v>
      </c>
    </row>
    <row r="30" spans="1:3">
      <c r="A30" s="1">
        <v>46065</v>
      </c>
      <c r="B30" s="7" t="s">
        <v>28</v>
      </c>
      <c r="C30">
        <v>1.25</v>
      </c>
    </row>
    <row r="31" spans="1:3">
      <c r="A31" s="1">
        <v>46066</v>
      </c>
      <c r="B31" s="7" t="s">
        <v>29</v>
      </c>
      <c r="C31">
        <v>1.5</v>
      </c>
    </row>
    <row r="32" spans="1:3">
      <c r="A32" s="1">
        <v>46067</v>
      </c>
      <c r="B32" s="7" t="s">
        <v>25</v>
      </c>
      <c r="C32">
        <v>3</v>
      </c>
    </row>
    <row r="33" spans="1:3">
      <c r="A33" s="1">
        <v>46069</v>
      </c>
      <c r="B33" s="7" t="s">
        <v>30</v>
      </c>
      <c r="C33">
        <v>5.5</v>
      </c>
    </row>
    <row r="34" spans="1:3">
      <c r="A34" s="1">
        <v>46070</v>
      </c>
      <c r="B34" s="7" t="s">
        <v>31</v>
      </c>
      <c r="C34">
        <v>5</v>
      </c>
    </row>
    <row r="35" spans="1:3">
      <c r="A35" s="1">
        <v>46071</v>
      </c>
      <c r="B35" s="7" t="s">
        <v>32</v>
      </c>
      <c r="C35">
        <v>5</v>
      </c>
    </row>
    <row r="36" spans="1:3" ht="45.75">
      <c r="A36" s="1">
        <v>46072</v>
      </c>
      <c r="B36" s="7" t="s">
        <v>33</v>
      </c>
      <c r="C36">
        <v>8.5</v>
      </c>
    </row>
    <row r="37" spans="1:3" ht="30.75">
      <c r="A37" s="1">
        <v>46073</v>
      </c>
      <c r="B37" s="7" t="s">
        <v>34</v>
      </c>
      <c r="C37">
        <v>7.5</v>
      </c>
    </row>
    <row r="38" spans="1:3">
      <c r="A38" s="1"/>
    </row>
    <row r="39" spans="1:3">
      <c r="A39" s="1"/>
    </row>
    <row r="40" spans="1:3">
      <c r="A40" s="1"/>
    </row>
    <row r="41" spans="1:3">
      <c r="A41" s="1"/>
    </row>
    <row r="42" spans="1:3">
      <c r="A42" s="1"/>
    </row>
    <row r="43" spans="1:3">
      <c r="A43" s="1"/>
    </row>
    <row r="44" spans="1:3">
      <c r="A44" s="9"/>
      <c r="C44">
        <f>SUM(C3:C43)</f>
        <v>109.5</v>
      </c>
    </row>
    <row r="45" spans="1:3">
      <c r="A45" s="9"/>
    </row>
    <row r="46" spans="1:3">
      <c r="A46" s="9"/>
    </row>
    <row r="47" spans="1:3">
      <c r="A47" s="9"/>
    </row>
    <row r="48" spans="1:3">
      <c r="A48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ECD9-4AD3-41AF-8923-B28678799497}">
  <dimension ref="A1:G42"/>
  <sheetViews>
    <sheetView topLeftCell="A15" workbookViewId="0">
      <selection activeCell="B38" sqref="B38"/>
    </sheetView>
  </sheetViews>
  <sheetFormatPr defaultRowHeight="15"/>
  <cols>
    <col min="1" max="1" width="15.85546875" customWidth="1"/>
    <col min="2" max="2" width="31.28515625" style="7" customWidth="1"/>
    <col min="3" max="3" width="11.28515625" customWidth="1"/>
  </cols>
  <sheetData>
    <row r="1" spans="1:7">
      <c r="A1" t="s">
        <v>0</v>
      </c>
      <c r="B1" s="7">
        <v>14</v>
      </c>
    </row>
    <row r="2" spans="1:7">
      <c r="A2" t="s">
        <v>1</v>
      </c>
      <c r="B2" s="7" t="s">
        <v>2</v>
      </c>
      <c r="G2" t="s">
        <v>35</v>
      </c>
    </row>
    <row r="3" spans="1:7">
      <c r="A3" s="1">
        <v>46031</v>
      </c>
      <c r="B3" s="7" t="s">
        <v>3</v>
      </c>
      <c r="C3">
        <v>3</v>
      </c>
      <c r="G3">
        <f>SUM(C3:C37)</f>
        <v>129</v>
      </c>
    </row>
    <row r="4" spans="1:7">
      <c r="A4" s="1">
        <v>46032</v>
      </c>
      <c r="B4" s="7" t="s">
        <v>4</v>
      </c>
      <c r="C4">
        <v>1.75</v>
      </c>
    </row>
    <row r="5" spans="1:7" ht="30.75">
      <c r="A5" s="1">
        <v>46033</v>
      </c>
      <c r="B5" s="7" t="s">
        <v>36</v>
      </c>
      <c r="C5">
        <v>2.25</v>
      </c>
    </row>
    <row r="6" spans="1:7" ht="30.75">
      <c r="A6" s="1">
        <v>46035</v>
      </c>
      <c r="B6" s="7" t="s">
        <v>37</v>
      </c>
      <c r="C6">
        <v>2.5</v>
      </c>
    </row>
    <row r="7" spans="1:7" ht="30.75">
      <c r="A7" s="1">
        <v>46037</v>
      </c>
      <c r="B7" s="7" t="s">
        <v>38</v>
      </c>
      <c r="C7">
        <v>3.25</v>
      </c>
    </row>
    <row r="8" spans="1:7" ht="30.75">
      <c r="A8" s="1">
        <v>46038</v>
      </c>
      <c r="B8" s="7" t="s">
        <v>39</v>
      </c>
      <c r="C8">
        <v>1.25</v>
      </c>
    </row>
    <row r="9" spans="1:7">
      <c r="A9" s="1">
        <v>46040</v>
      </c>
      <c r="B9" s="7" t="s">
        <v>40</v>
      </c>
      <c r="C9">
        <v>2.75</v>
      </c>
    </row>
    <row r="10" spans="1:7" ht="30.75">
      <c r="A10" s="1">
        <v>46041</v>
      </c>
      <c r="B10" s="7" t="s">
        <v>41</v>
      </c>
      <c r="C10">
        <v>3.75</v>
      </c>
    </row>
    <row r="11" spans="1:7" ht="30.75">
      <c r="A11" s="1">
        <v>46042</v>
      </c>
      <c r="B11" s="7" t="s">
        <v>42</v>
      </c>
      <c r="C11">
        <v>1.5</v>
      </c>
    </row>
    <row r="12" spans="1:7" ht="30.75">
      <c r="A12" s="1">
        <v>46047</v>
      </c>
      <c r="B12" s="7" t="s">
        <v>43</v>
      </c>
      <c r="C12">
        <v>3</v>
      </c>
    </row>
    <row r="13" spans="1:7" ht="60.75">
      <c r="A13" s="1">
        <v>46047</v>
      </c>
      <c r="B13" s="7" t="s">
        <v>44</v>
      </c>
      <c r="C13">
        <v>3</v>
      </c>
    </row>
    <row r="14" spans="1:7">
      <c r="A14" s="1">
        <v>46048</v>
      </c>
      <c r="B14" s="7" t="s">
        <v>16</v>
      </c>
      <c r="C14">
        <v>2.5</v>
      </c>
    </row>
    <row r="15" spans="1:7">
      <c r="A15" s="1">
        <v>46049</v>
      </c>
      <c r="B15" s="7" t="s">
        <v>45</v>
      </c>
      <c r="C15">
        <v>2</v>
      </c>
    </row>
    <row r="16" spans="1:7" ht="45.75">
      <c r="A16" s="1">
        <v>46050</v>
      </c>
      <c r="B16" s="7" t="s">
        <v>46</v>
      </c>
      <c r="C16">
        <v>5</v>
      </c>
    </row>
    <row r="17" spans="1:3" ht="30.75">
      <c r="A17" s="1">
        <v>46050</v>
      </c>
      <c r="B17" s="7" t="s">
        <v>47</v>
      </c>
      <c r="C17">
        <v>2</v>
      </c>
    </row>
    <row r="18" spans="1:3">
      <c r="A18" s="1">
        <v>46052</v>
      </c>
      <c r="B18" s="7" t="s">
        <v>48</v>
      </c>
      <c r="C18">
        <v>3</v>
      </c>
    </row>
    <row r="19" spans="1:3">
      <c r="A19" s="1">
        <v>46053</v>
      </c>
      <c r="B19" s="7" t="s">
        <v>48</v>
      </c>
      <c r="C19">
        <v>1</v>
      </c>
    </row>
    <row r="20" spans="1:3" ht="45.75">
      <c r="A20" s="1">
        <v>46055</v>
      </c>
      <c r="B20" s="7" t="s">
        <v>49</v>
      </c>
      <c r="C20">
        <v>4</v>
      </c>
    </row>
    <row r="21" spans="1:3">
      <c r="A21" s="1">
        <v>46056</v>
      </c>
      <c r="B21" s="7" t="s">
        <v>50</v>
      </c>
      <c r="C21">
        <v>3.5</v>
      </c>
    </row>
    <row r="22" spans="1:3" ht="60.75">
      <c r="A22" s="1">
        <v>46057</v>
      </c>
      <c r="B22" s="7" t="s">
        <v>51</v>
      </c>
      <c r="C22">
        <v>3</v>
      </c>
    </row>
    <row r="23" spans="1:3" ht="30.75">
      <c r="A23" s="1">
        <v>46058</v>
      </c>
      <c r="B23" s="7" t="s">
        <v>52</v>
      </c>
      <c r="C23">
        <v>4</v>
      </c>
    </row>
    <row r="24" spans="1:3">
      <c r="A24" s="1">
        <v>46060</v>
      </c>
      <c r="B24" s="7" t="s">
        <v>53</v>
      </c>
      <c r="C24">
        <v>3.5</v>
      </c>
    </row>
    <row r="25" spans="1:3">
      <c r="A25" s="1">
        <v>46060</v>
      </c>
      <c r="B25" s="7" t="s">
        <v>54</v>
      </c>
      <c r="C25">
        <v>2</v>
      </c>
    </row>
    <row r="26" spans="1:3">
      <c r="A26" s="1">
        <v>46061</v>
      </c>
      <c r="B26" s="7" t="s">
        <v>54</v>
      </c>
      <c r="C26">
        <v>2</v>
      </c>
    </row>
    <row r="27" spans="1:3">
      <c r="A27" s="1">
        <v>46061</v>
      </c>
      <c r="B27" s="7" t="s">
        <v>53</v>
      </c>
      <c r="C27">
        <v>5</v>
      </c>
    </row>
    <row r="28" spans="1:3">
      <c r="A28" s="1">
        <v>46062</v>
      </c>
      <c r="B28" s="7" t="s">
        <v>55</v>
      </c>
      <c r="C28">
        <v>3</v>
      </c>
    </row>
    <row r="29" spans="1:3">
      <c r="A29" s="1">
        <v>46063</v>
      </c>
      <c r="B29" s="7" t="s">
        <v>55</v>
      </c>
      <c r="C29">
        <v>2.5</v>
      </c>
    </row>
    <row r="30" spans="1:3">
      <c r="A30" s="1">
        <v>46065</v>
      </c>
      <c r="B30" s="7" t="s">
        <v>56</v>
      </c>
      <c r="C30">
        <v>1.25</v>
      </c>
    </row>
    <row r="31" spans="1:3" ht="45.75">
      <c r="A31" s="1">
        <v>46066</v>
      </c>
      <c r="B31" s="7" t="s">
        <v>57</v>
      </c>
      <c r="C31">
        <v>5.5</v>
      </c>
    </row>
    <row r="32" spans="1:3">
      <c r="A32" s="1">
        <v>46067</v>
      </c>
      <c r="B32" s="7" t="s">
        <v>58</v>
      </c>
      <c r="C32">
        <v>3.75</v>
      </c>
    </row>
    <row r="33" spans="1:3">
      <c r="A33" s="1">
        <v>46068</v>
      </c>
      <c r="B33" s="7" t="s">
        <v>59</v>
      </c>
      <c r="C33">
        <v>3.5</v>
      </c>
    </row>
    <row r="34" spans="1:3">
      <c r="A34" s="1">
        <v>46069</v>
      </c>
      <c r="B34" s="7" t="s">
        <v>60</v>
      </c>
      <c r="C34">
        <v>6.25</v>
      </c>
    </row>
    <row r="35" spans="1:3" ht="45.75">
      <c r="A35" s="1">
        <v>46070</v>
      </c>
      <c r="B35" s="7" t="s">
        <v>61</v>
      </c>
      <c r="C35">
        <v>9</v>
      </c>
    </row>
    <row r="36" spans="1:3" ht="30.75">
      <c r="A36" s="1">
        <v>46071</v>
      </c>
      <c r="B36" s="7" t="s">
        <v>62</v>
      </c>
      <c r="C36">
        <v>11.75</v>
      </c>
    </row>
    <row r="37" spans="1:3" ht="30.75">
      <c r="A37" s="1">
        <v>46072</v>
      </c>
      <c r="B37" s="7" t="s">
        <v>63</v>
      </c>
      <c r="C37">
        <v>12</v>
      </c>
    </row>
    <row r="38" spans="1:3" ht="30.75">
      <c r="A38" s="1">
        <v>46073</v>
      </c>
      <c r="B38" s="7" t="s">
        <v>64</v>
      </c>
      <c r="C38">
        <v>3</v>
      </c>
    </row>
    <row r="39" spans="1:3">
      <c r="A39" s="1"/>
    </row>
    <row r="40" spans="1:3">
      <c r="A40" s="1"/>
    </row>
    <row r="41" spans="1:3">
      <c r="A41" s="1"/>
    </row>
    <row r="42" spans="1:3">
      <c r="A4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B699C-A1E1-4AD6-93FA-0EE0791E6206}">
  <dimension ref="A1:C39"/>
  <sheetViews>
    <sheetView workbookViewId="0">
      <selection activeCell="C39" sqref="C39"/>
    </sheetView>
  </sheetViews>
  <sheetFormatPr defaultRowHeight="15"/>
  <cols>
    <col min="1" max="1" width="15.42578125" customWidth="1"/>
    <col min="2" max="2" width="60.42578125" customWidth="1"/>
    <col min="3" max="3" width="13.42578125" customWidth="1"/>
  </cols>
  <sheetData>
    <row r="1" spans="1:3">
      <c r="A1" t="s">
        <v>0</v>
      </c>
      <c r="B1">
        <v>14</v>
      </c>
    </row>
    <row r="2" spans="1:3">
      <c r="A2" t="s">
        <v>1</v>
      </c>
      <c r="B2" t="s">
        <v>2</v>
      </c>
    </row>
    <row r="3" spans="1:3">
      <c r="A3" s="1">
        <v>46031</v>
      </c>
      <c r="B3" t="s">
        <v>3</v>
      </c>
      <c r="C3">
        <v>3</v>
      </c>
    </row>
    <row r="4" spans="1:3">
      <c r="A4" s="1">
        <v>46032</v>
      </c>
      <c r="B4" t="s">
        <v>4</v>
      </c>
      <c r="C4">
        <v>1.75</v>
      </c>
    </row>
    <row r="5" spans="1:3">
      <c r="A5" s="1">
        <v>46033</v>
      </c>
      <c r="B5" t="s">
        <v>65</v>
      </c>
      <c r="C5">
        <v>2.25</v>
      </c>
    </row>
    <row r="6" spans="1:3">
      <c r="A6" s="1">
        <v>46035</v>
      </c>
      <c r="B6" t="s">
        <v>66</v>
      </c>
      <c r="C6">
        <v>2.5</v>
      </c>
    </row>
    <row r="7" spans="1:3">
      <c r="A7" s="1">
        <v>46037</v>
      </c>
      <c r="B7" t="s">
        <v>67</v>
      </c>
      <c r="C7">
        <v>3</v>
      </c>
    </row>
    <row r="8" spans="1:3">
      <c r="A8" s="1">
        <v>46038</v>
      </c>
      <c r="B8" t="s">
        <v>68</v>
      </c>
      <c r="C8">
        <v>3</v>
      </c>
    </row>
    <row r="9" spans="1:3">
      <c r="A9" s="1">
        <v>46039</v>
      </c>
      <c r="B9" t="s">
        <v>68</v>
      </c>
      <c r="C9">
        <v>1.75</v>
      </c>
    </row>
    <row r="10" spans="1:3">
      <c r="A10" s="1">
        <v>46040</v>
      </c>
      <c r="B10" t="s">
        <v>69</v>
      </c>
      <c r="C10">
        <v>2.75</v>
      </c>
    </row>
    <row r="11" spans="1:3">
      <c r="A11" s="1">
        <v>46041</v>
      </c>
      <c r="B11" t="s">
        <v>41</v>
      </c>
      <c r="C11">
        <v>3.75</v>
      </c>
    </row>
    <row r="12" spans="1:3">
      <c r="A12" s="1">
        <v>46042</v>
      </c>
      <c r="B12" t="s">
        <v>70</v>
      </c>
      <c r="C12">
        <v>1.5</v>
      </c>
    </row>
    <row r="13" spans="1:3" ht="30.75" customHeight="1">
      <c r="A13" s="1">
        <v>46045</v>
      </c>
      <c r="B13" s="7" t="s">
        <v>71</v>
      </c>
      <c r="C13">
        <v>4.25</v>
      </c>
    </row>
    <row r="14" spans="1:3">
      <c r="A14" s="1">
        <v>46046</v>
      </c>
      <c r="B14" t="s">
        <v>72</v>
      </c>
      <c r="C14">
        <v>4</v>
      </c>
    </row>
    <row r="15" spans="1:3">
      <c r="A15" s="1">
        <v>46047</v>
      </c>
      <c r="B15" t="s">
        <v>73</v>
      </c>
      <c r="C15">
        <v>5.25</v>
      </c>
    </row>
    <row r="16" spans="1:3">
      <c r="A16" s="1">
        <v>46048</v>
      </c>
      <c r="B16" t="s">
        <v>16</v>
      </c>
      <c r="C16">
        <v>2.5</v>
      </c>
    </row>
    <row r="17" spans="1:3">
      <c r="A17" s="1">
        <v>46049</v>
      </c>
      <c r="B17" t="s">
        <v>28</v>
      </c>
      <c r="C17">
        <v>1.25</v>
      </c>
    </row>
    <row r="18" spans="1:3" ht="30.75">
      <c r="A18" s="1">
        <v>46051</v>
      </c>
      <c r="B18" s="7" t="s">
        <v>74</v>
      </c>
      <c r="C18">
        <v>2.5</v>
      </c>
    </row>
    <row r="19" spans="1:3">
      <c r="A19" s="1">
        <v>46052</v>
      </c>
      <c r="B19" t="s">
        <v>75</v>
      </c>
      <c r="C19">
        <v>3</v>
      </c>
    </row>
    <row r="20" spans="1:3">
      <c r="A20" s="1">
        <v>46053</v>
      </c>
      <c r="B20" t="s">
        <v>76</v>
      </c>
      <c r="C20">
        <v>2.5</v>
      </c>
    </row>
    <row r="21" spans="1:3">
      <c r="A21" s="1">
        <v>46056</v>
      </c>
      <c r="B21" t="s">
        <v>77</v>
      </c>
      <c r="C21">
        <v>3.5</v>
      </c>
    </row>
    <row r="22" spans="1:3">
      <c r="A22" s="1">
        <v>46058</v>
      </c>
      <c r="B22" t="s">
        <v>78</v>
      </c>
      <c r="C22">
        <v>1.5</v>
      </c>
    </row>
    <row r="23" spans="1:3">
      <c r="A23" s="1">
        <v>46060</v>
      </c>
      <c r="B23" t="s">
        <v>65</v>
      </c>
      <c r="C23">
        <v>2</v>
      </c>
    </row>
    <row r="24" spans="1:3">
      <c r="A24" s="1">
        <v>46061</v>
      </c>
      <c r="B24" t="s">
        <v>79</v>
      </c>
      <c r="C24">
        <v>5.5</v>
      </c>
    </row>
    <row r="25" spans="1:3">
      <c r="A25" s="1">
        <v>46062</v>
      </c>
      <c r="B25" t="s">
        <v>80</v>
      </c>
      <c r="C25">
        <v>6</v>
      </c>
    </row>
    <row r="26" spans="1:3">
      <c r="A26" s="1">
        <v>46063</v>
      </c>
      <c r="B26" t="s">
        <v>81</v>
      </c>
      <c r="C26">
        <v>2.5</v>
      </c>
    </row>
    <row r="27" spans="1:3">
      <c r="A27" s="1">
        <v>46064</v>
      </c>
      <c r="B27" t="s">
        <v>82</v>
      </c>
      <c r="C27">
        <v>2.75</v>
      </c>
    </row>
    <row r="28" spans="1:3">
      <c r="A28" s="1">
        <v>46065</v>
      </c>
      <c r="B28" t="s">
        <v>28</v>
      </c>
      <c r="C28">
        <v>1.5</v>
      </c>
    </row>
    <row r="29" spans="1:3">
      <c r="A29" s="1">
        <v>46066</v>
      </c>
      <c r="B29" t="s">
        <v>83</v>
      </c>
      <c r="C29">
        <v>2.5</v>
      </c>
    </row>
    <row r="30" spans="1:3">
      <c r="A30" s="1">
        <v>46067</v>
      </c>
      <c r="B30" t="s">
        <v>84</v>
      </c>
      <c r="C30">
        <v>5.25</v>
      </c>
    </row>
    <row r="31" spans="1:3">
      <c r="A31" s="1">
        <v>46068</v>
      </c>
      <c r="B31" t="s">
        <v>85</v>
      </c>
      <c r="C31">
        <v>2.5</v>
      </c>
    </row>
    <row r="32" spans="1:3">
      <c r="A32" s="1">
        <v>46069</v>
      </c>
      <c r="B32" t="s">
        <v>86</v>
      </c>
      <c r="C32">
        <v>2</v>
      </c>
    </row>
    <row r="33" spans="1:3">
      <c r="A33" s="1">
        <v>46070</v>
      </c>
      <c r="B33" t="s">
        <v>87</v>
      </c>
      <c r="C33">
        <v>2.25</v>
      </c>
    </row>
    <row r="34" spans="1:3">
      <c r="A34" s="1">
        <v>46071</v>
      </c>
      <c r="B34" t="s">
        <v>88</v>
      </c>
      <c r="C34">
        <v>2.25</v>
      </c>
    </row>
    <row r="35" spans="1:3" ht="30.75">
      <c r="A35" s="1">
        <v>46072</v>
      </c>
      <c r="B35" s="7" t="s">
        <v>89</v>
      </c>
      <c r="C35">
        <v>6</v>
      </c>
    </row>
    <row r="36" spans="1:3">
      <c r="A36" s="1">
        <v>46073</v>
      </c>
      <c r="B36" t="s">
        <v>90</v>
      </c>
      <c r="C36">
        <v>4.25</v>
      </c>
    </row>
    <row r="37" spans="1:3">
      <c r="A37" s="1"/>
    </row>
    <row r="38" spans="1:3">
      <c r="A38" s="1"/>
      <c r="C38" s="10" t="s">
        <v>91</v>
      </c>
    </row>
    <row r="39" spans="1:3">
      <c r="C39">
        <f>SUM(C1:C37)</f>
        <v>102.75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3D70-9A8B-4A59-8343-1D3356DFB267}">
  <dimension ref="A1:C47"/>
  <sheetViews>
    <sheetView topLeftCell="A20" workbookViewId="0">
      <selection activeCell="D40" sqref="D40"/>
    </sheetView>
  </sheetViews>
  <sheetFormatPr defaultRowHeight="15"/>
  <cols>
    <col min="1" max="1" width="15.7109375" style="2" customWidth="1"/>
    <col min="2" max="2" width="68.5703125" customWidth="1"/>
    <col min="3" max="3" width="13" customWidth="1"/>
  </cols>
  <sheetData>
    <row r="1" spans="1:3">
      <c r="A1" s="2" t="s">
        <v>0</v>
      </c>
      <c r="B1">
        <v>14</v>
      </c>
    </row>
    <row r="2" spans="1:3">
      <c r="A2" s="5" t="s">
        <v>1</v>
      </c>
      <c r="B2" s="6" t="s">
        <v>2</v>
      </c>
    </row>
    <row r="3" spans="1:3">
      <c r="A3" s="3">
        <v>46031</v>
      </c>
      <c r="B3" t="s">
        <v>3</v>
      </c>
      <c r="C3">
        <v>3</v>
      </c>
    </row>
    <row r="4" spans="1:3">
      <c r="A4" s="4" t="s">
        <v>92</v>
      </c>
      <c r="B4" t="s">
        <v>65</v>
      </c>
      <c r="C4">
        <v>2.25</v>
      </c>
    </row>
    <row r="5" spans="1:3">
      <c r="A5" s="2" t="s">
        <v>93</v>
      </c>
      <c r="B5" t="s">
        <v>5</v>
      </c>
      <c r="C5">
        <v>2.5</v>
      </c>
    </row>
    <row r="6" spans="1:3">
      <c r="A6" s="2" t="s">
        <v>94</v>
      </c>
      <c r="B6" t="s">
        <v>95</v>
      </c>
      <c r="C6">
        <v>3</v>
      </c>
    </row>
    <row r="7" spans="1:3">
      <c r="A7" s="2" t="s">
        <v>96</v>
      </c>
      <c r="B7" t="s">
        <v>97</v>
      </c>
      <c r="C7">
        <v>3</v>
      </c>
    </row>
    <row r="8" spans="1:3">
      <c r="A8" s="2" t="s">
        <v>98</v>
      </c>
      <c r="B8" t="s">
        <v>97</v>
      </c>
      <c r="C8">
        <v>2</v>
      </c>
    </row>
    <row r="9" spans="1:3">
      <c r="A9" s="2" t="s">
        <v>99</v>
      </c>
      <c r="B9" t="s">
        <v>100</v>
      </c>
      <c r="C9">
        <v>2.75</v>
      </c>
    </row>
    <row r="10" spans="1:3">
      <c r="A10" s="2" t="s">
        <v>101</v>
      </c>
      <c r="B10" s="7" t="s">
        <v>41</v>
      </c>
      <c r="C10">
        <v>3.75</v>
      </c>
    </row>
    <row r="11" spans="1:3">
      <c r="A11" s="2" t="s">
        <v>102</v>
      </c>
      <c r="B11" t="s">
        <v>103</v>
      </c>
      <c r="C11">
        <v>3</v>
      </c>
    </row>
    <row r="12" spans="1:3">
      <c r="A12" s="2" t="s">
        <v>104</v>
      </c>
      <c r="B12" t="s">
        <v>105</v>
      </c>
      <c r="C12">
        <v>4</v>
      </c>
    </row>
    <row r="13" spans="1:3">
      <c r="A13" s="2" t="s">
        <v>106</v>
      </c>
      <c r="B13" t="s">
        <v>107</v>
      </c>
      <c r="C13">
        <v>4</v>
      </c>
    </row>
    <row r="14" spans="1:3">
      <c r="A14" s="2" t="s">
        <v>108</v>
      </c>
      <c r="B14" t="s">
        <v>107</v>
      </c>
      <c r="C14">
        <v>5</v>
      </c>
    </row>
    <row r="15" spans="1:3">
      <c r="A15" s="2" t="s">
        <v>109</v>
      </c>
      <c r="B15" t="s">
        <v>110</v>
      </c>
      <c r="C15">
        <v>6</v>
      </c>
    </row>
    <row r="16" spans="1:3">
      <c r="A16" s="2" t="s">
        <v>111</v>
      </c>
      <c r="B16" t="s">
        <v>16</v>
      </c>
      <c r="C16">
        <v>2.5</v>
      </c>
    </row>
    <row r="17" spans="1:3">
      <c r="A17" s="2" t="s">
        <v>112</v>
      </c>
      <c r="B17" t="s">
        <v>28</v>
      </c>
      <c r="C17">
        <v>1.25</v>
      </c>
    </row>
    <row r="18" spans="1:3">
      <c r="A18" s="2" t="s">
        <v>113</v>
      </c>
      <c r="B18" t="s">
        <v>114</v>
      </c>
      <c r="C18">
        <v>0</v>
      </c>
    </row>
    <row r="19" spans="1:3">
      <c r="A19" s="2" t="s">
        <v>115</v>
      </c>
      <c r="B19" t="s">
        <v>116</v>
      </c>
      <c r="C19">
        <v>4</v>
      </c>
    </row>
    <row r="20" spans="1:3">
      <c r="A20" s="2" t="s">
        <v>117</v>
      </c>
      <c r="B20" t="s">
        <v>118</v>
      </c>
      <c r="C20">
        <v>1</v>
      </c>
    </row>
    <row r="21" spans="1:3" ht="15.75">
      <c r="A21" s="2" t="s">
        <v>119</v>
      </c>
      <c r="B21" s="8" t="s">
        <v>120</v>
      </c>
      <c r="C21">
        <v>6</v>
      </c>
    </row>
    <row r="22" spans="1:3">
      <c r="A22" s="2" t="s">
        <v>121</v>
      </c>
      <c r="B22" t="s">
        <v>122</v>
      </c>
      <c r="C22">
        <v>6</v>
      </c>
    </row>
    <row r="23" spans="1:3">
      <c r="A23" s="2" t="s">
        <v>123</v>
      </c>
      <c r="B23" t="s">
        <v>124</v>
      </c>
      <c r="C23">
        <v>3</v>
      </c>
    </row>
    <row r="24" spans="1:3">
      <c r="A24" s="2" t="s">
        <v>125</v>
      </c>
      <c r="B24" t="s">
        <v>126</v>
      </c>
      <c r="C24">
        <v>3.5</v>
      </c>
    </row>
    <row r="25" spans="1:3">
      <c r="A25" s="2" t="s">
        <v>127</v>
      </c>
      <c r="B25" t="s">
        <v>128</v>
      </c>
      <c r="C25">
        <v>5</v>
      </c>
    </row>
    <row r="26" spans="1:3">
      <c r="A26" s="2" t="s">
        <v>129</v>
      </c>
      <c r="B26" t="s">
        <v>130</v>
      </c>
      <c r="C26">
        <v>5</v>
      </c>
    </row>
    <row r="27" spans="1:3">
      <c r="A27" s="2" t="s">
        <v>131</v>
      </c>
      <c r="B27" t="s">
        <v>114</v>
      </c>
      <c r="C27">
        <v>0</v>
      </c>
    </row>
    <row r="28" spans="1:3">
      <c r="A28" s="2" t="s">
        <v>132</v>
      </c>
      <c r="B28" t="s">
        <v>25</v>
      </c>
      <c r="C28">
        <v>3</v>
      </c>
    </row>
    <row r="29" spans="1:3">
      <c r="A29" s="2" t="s">
        <v>133</v>
      </c>
      <c r="B29" t="s">
        <v>134</v>
      </c>
      <c r="C29">
        <v>7</v>
      </c>
    </row>
    <row r="30" spans="1:3">
      <c r="A30" s="2" t="s">
        <v>135</v>
      </c>
      <c r="B30" t="s">
        <v>26</v>
      </c>
      <c r="C30">
        <v>3</v>
      </c>
    </row>
    <row r="31" spans="1:3">
      <c r="A31" s="2" t="s">
        <v>136</v>
      </c>
      <c r="B31" t="s">
        <v>137</v>
      </c>
      <c r="C31">
        <v>2</v>
      </c>
    </row>
    <row r="32" spans="1:3">
      <c r="A32" s="2" t="s">
        <v>138</v>
      </c>
      <c r="B32" t="s">
        <v>139</v>
      </c>
      <c r="C32">
        <v>5</v>
      </c>
    </row>
    <row r="33" spans="1:3">
      <c r="A33" s="2" t="s">
        <v>140</v>
      </c>
      <c r="B33" t="s">
        <v>28</v>
      </c>
      <c r="C33">
        <v>1.5</v>
      </c>
    </row>
    <row r="34" spans="1:3">
      <c r="A34" s="2" t="s">
        <v>141</v>
      </c>
      <c r="B34" t="s">
        <v>114</v>
      </c>
      <c r="C34">
        <v>0</v>
      </c>
    </row>
    <row r="35" spans="1:3">
      <c r="A35" s="2" t="s">
        <v>142</v>
      </c>
      <c r="B35" t="s">
        <v>143</v>
      </c>
      <c r="C35">
        <v>5</v>
      </c>
    </row>
    <row r="36" spans="1:3">
      <c r="A36" s="2" t="s">
        <v>144</v>
      </c>
      <c r="B36" t="s">
        <v>145</v>
      </c>
      <c r="C36">
        <v>2</v>
      </c>
    </row>
    <row r="37" spans="1:3">
      <c r="A37" s="2" t="s">
        <v>146</v>
      </c>
      <c r="B37" t="s">
        <v>86</v>
      </c>
      <c r="C37">
        <v>2</v>
      </c>
    </row>
    <row r="38" spans="1:3">
      <c r="A38" s="2" t="s">
        <v>147</v>
      </c>
      <c r="B38" t="s">
        <v>148</v>
      </c>
      <c r="C38">
        <v>5</v>
      </c>
    </row>
    <row r="39" spans="1:3">
      <c r="A39" s="2" t="s">
        <v>149</v>
      </c>
      <c r="B39" t="s">
        <v>150</v>
      </c>
      <c r="C39">
        <v>2</v>
      </c>
    </row>
    <row r="40" spans="1:3">
      <c r="A40" s="2" t="s">
        <v>151</v>
      </c>
      <c r="B40" t="s">
        <v>152</v>
      </c>
      <c r="C40">
        <v>5</v>
      </c>
    </row>
    <row r="41" spans="1:3">
      <c r="A41" s="2" t="s">
        <v>153</v>
      </c>
      <c r="B41" t="s">
        <v>154</v>
      </c>
      <c r="C41">
        <v>3</v>
      </c>
    </row>
    <row r="43" spans="1:3">
      <c r="C43" t="s">
        <v>155</v>
      </c>
    </row>
    <row r="47" spans="1:3">
      <c r="C47">
        <f>SUM(C3:C43)</f>
        <v>127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a7a6246-083c-42a9-bade-22229dae6e8e">
      <Terms xmlns="http://schemas.microsoft.com/office/infopath/2007/PartnerControls"/>
    </lcf76f155ced4ddcb4097134ff3c332f>
    <TaxCatchAll xmlns="8bd11900-c323-4a63-8862-fdc6bf5ae56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6E55D7EA98E54CAC4F5A2120CF0C47" ma:contentTypeVersion="10" ma:contentTypeDescription="Create a new document." ma:contentTypeScope="" ma:versionID="56c7f2c4c1661919e11902e4f51eb3e3">
  <xsd:schema xmlns:xsd="http://www.w3.org/2001/XMLSchema" xmlns:xs="http://www.w3.org/2001/XMLSchema" xmlns:p="http://schemas.microsoft.com/office/2006/metadata/properties" xmlns:ns2="ca7a6246-083c-42a9-bade-22229dae6e8e" xmlns:ns3="8bd11900-c323-4a63-8862-fdc6bf5ae562" targetNamespace="http://schemas.microsoft.com/office/2006/metadata/properties" ma:root="true" ma:fieldsID="efc043c5595657e4fe38818547ea1ff0" ns2:_="" ns3:_="">
    <xsd:import namespace="ca7a6246-083c-42a9-bade-22229dae6e8e"/>
    <xsd:import namespace="8bd11900-c323-4a63-8862-fdc6bf5ae5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7a6246-083c-42a9-bade-22229dae6e8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3c5529c5-a027-4c82-ab4e-2b087dfb9f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d11900-c323-4a63-8862-fdc6bf5ae56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fe82843-e1c9-4269-9845-c9bfaf747df1}" ma:internalName="TaxCatchAll" ma:showField="CatchAllData" ma:web="8bd11900-c323-4a63-8862-fdc6bf5ae5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926F40-E66A-41BE-B8D4-598FFB6BC336}"/>
</file>

<file path=customXml/itemProps2.xml><?xml version="1.0" encoding="utf-8"?>
<ds:datastoreItem xmlns:ds="http://schemas.openxmlformats.org/officeDocument/2006/customXml" ds:itemID="{90BB264E-A8C3-4F58-84A3-3795BD584FDB}"/>
</file>

<file path=customXml/itemProps3.xml><?xml version="1.0" encoding="utf-8"?>
<ds:datastoreItem xmlns:ds="http://schemas.openxmlformats.org/officeDocument/2006/customXml" ds:itemID="{E1253E7C-A2B8-495F-9602-6A81FC86446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>Timo Tikkanen</cp:lastModifiedBy>
  <cp:revision/>
  <dcterms:created xsi:type="dcterms:W3CDTF">2023-10-18T07:31:54Z</dcterms:created>
  <dcterms:modified xsi:type="dcterms:W3CDTF">2026-02-20T16:10:58Z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0x0101008A6E55D7EA98E54CAC4F5A2120CF0C47</vt:lpwstr>
  </property>
  <property fmtid="{D5CDD505-2E9C-101B-9397-08002B2CF9AE}" pid="3" name="MediaServiceImageTags">
    <vt:lpwstr/>
  </property>
</Properties>
</file>